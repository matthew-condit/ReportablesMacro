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mcondit\Documents\Orbitrap_Dev\"/>
    </mc:Choice>
  </mc:AlternateContent>
  <bookViews>
    <workbookView xWindow="0" yWindow="0" windowWidth="44055" windowHeight="8055"/>
  </bookViews>
  <sheets>
    <sheet name="Report Data" sheetId="1" r:id="rId1"/>
    <sheet name="Data Table Template" sheetId="255" r:id="rId2"/>
    <sheet name="Data Table Example" sheetId="256" r:id="rId3"/>
  </sheets>
  <externalReferences>
    <externalReference r:id="rId4"/>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0" i="256" l="1"/>
  <c r="I20" i="256" s="1"/>
  <c r="I19" i="256"/>
  <c r="H19" i="256"/>
  <c r="H18" i="256"/>
  <c r="I18" i="256" s="1"/>
  <c r="H17" i="256"/>
  <c r="H16" i="256"/>
  <c r="I16" i="256" s="1"/>
  <c r="I15" i="256"/>
  <c r="H15" i="256"/>
  <c r="H14" i="256"/>
  <c r="I14" i="256" s="1"/>
  <c r="I13" i="256"/>
  <c r="H13" i="256"/>
  <c r="H11" i="256"/>
  <c r="I11" i="256" s="1"/>
  <c r="H10" i="256"/>
  <c r="H9" i="256"/>
  <c r="I9" i="256" s="1"/>
  <c r="I7" i="256"/>
  <c r="H7" i="256"/>
  <c r="H6" i="256"/>
  <c r="I6" i="256" s="1"/>
  <c r="I5" i="256"/>
  <c r="H5" i="256"/>
  <c r="A1" i="256"/>
  <c r="I17" i="256" l="1"/>
  <c r="I10" i="256"/>
</calcChain>
</file>

<file path=xl/sharedStrings.xml><?xml version="1.0" encoding="utf-8"?>
<sst xmlns="http://schemas.openxmlformats.org/spreadsheetml/2006/main" count="121" uniqueCount="57">
  <si>
    <t>Select What Parameter to Input</t>
  </si>
  <si>
    <t xml:space="preserve">Volume Used: </t>
  </si>
  <si>
    <t>mL</t>
  </si>
  <si>
    <t xml:space="preserve">Units Extracted: </t>
  </si>
  <si>
    <t>Unit</t>
  </si>
  <si>
    <t>Compound</t>
  </si>
  <si>
    <t>Result (ug/mL)</t>
  </si>
  <si>
    <t>CAS #</t>
  </si>
  <si>
    <t>128-37-0</t>
  </si>
  <si>
    <t>57-10-3</t>
  </si>
  <si>
    <t>57-11-4</t>
  </si>
  <si>
    <t>IC</t>
  </si>
  <si>
    <t>BHT</t>
  </si>
  <si>
    <t>Myristic Acd</t>
  </si>
  <si>
    <t>544-63-8</t>
  </si>
  <si>
    <t>Oleamide</t>
  </si>
  <si>
    <t>301-02-0</t>
  </si>
  <si>
    <t>Palmitic Acid</t>
  </si>
  <si>
    <t>Stearic Acid</t>
  </si>
  <si>
    <t>Erucamide</t>
  </si>
  <si>
    <t>112-84-5</t>
  </si>
  <si>
    <t>Irganox 1010</t>
  </si>
  <si>
    <t>98584-37-3</t>
  </si>
  <si>
    <t>50% Ethanol</t>
  </si>
  <si>
    <t>Control</t>
  </si>
  <si>
    <t>NVOC</t>
  </si>
  <si>
    <t>Important Notes For Data Filtering: 
Hitting the "Scan for Reportables" Button WILL DELETE ALL CURRENT WORK in this workbook.  It will leave the sheets that it filters un-altered.
This Macro is only able to open "Microsoft Excel Worksheet"'s with .xls OR .xlsx file extensions.  If your file is not in this format, just "Save As..." and choose the proper extension.
Please make sure your workbook to be scanned is in the proper format.  Refer to the template on sheet #2 if you have any questions.</t>
  </si>
  <si>
    <t>Blank</t>
  </si>
  <si>
    <t>Reportable</t>
  </si>
  <si>
    <t>Instrument</t>
  </si>
  <si>
    <t xml:space="preserve">Concentration </t>
  </si>
  <si>
    <t>Dilution</t>
  </si>
  <si>
    <t>Corrected</t>
  </si>
  <si>
    <t>Not Reportable</t>
  </si>
  <si>
    <t xml:space="preserve">Ret Time </t>
  </si>
  <si>
    <t>Factor</t>
  </si>
  <si>
    <t xml:space="preserve"> Factor</t>
  </si>
  <si>
    <t>(R/NR)</t>
  </si>
  <si>
    <t>ID</t>
  </si>
  <si>
    <t>mb1602007oe</t>
  </si>
  <si>
    <t>-</t>
  </si>
  <si>
    <t>Oleic Acid</t>
  </si>
  <si>
    <t>112-80-1</t>
  </si>
  <si>
    <t>NR</t>
  </si>
  <si>
    <t>Sample 1</t>
  </si>
  <si>
    <t>R</t>
  </si>
  <si>
    <t>BRL - Below reporting Limit (&lt;1 ug/mL)</t>
  </si>
  <si>
    <t>Compounds observed in blank not reported, as they are not test article/control related.</t>
  </si>
  <si>
    <t>Corrected Resulted (ug/mL) = (Instrument Result (ug/mL) * Dilution Factor)/Concentration Factor</t>
  </si>
  <si>
    <t xml:space="preserve">Blank/Control Corrected Result (ug/mL) = Correct Result (ug/mL) - Corrected Result Corrected for Blank/Control (ug/mL) </t>
  </si>
  <si>
    <t>Concentration Factor = Initial Extraction Volume/Concentrated Volume</t>
  </si>
  <si>
    <t>Highlighted results reported</t>
  </si>
  <si>
    <t>&lt;Non-GLP Report #&gt;</t>
  </si>
  <si>
    <t>&lt;Solution&gt;</t>
  </si>
  <si>
    <t>&lt;Method Code&gt;</t>
  </si>
  <si>
    <t>&lt;Control&gt;</t>
  </si>
  <si>
    <t>&lt;Sample #&gt;</t>
  </si>
</sst>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Calibri"/>
      <family val="2"/>
      <scheme val="minor"/>
    </font>
    <font>
      <b/>
      <sz val="13"/>
      <color theme="3"/>
      <name val="Calibri"/>
      <family val="2"/>
      <scheme val="minor"/>
    </font>
    <font>
      <sz val="11"/>
      <color theme="1"/>
      <name val="Calibri"/>
      <family val="2"/>
      <scheme val="minor"/>
    </font>
    <font>
      <b/>
      <sz val="11"/>
      <name val="Arial"/>
      <family val="2"/>
    </font>
    <font>
      <b/>
      <sz val="10"/>
      <name val="Arial"/>
      <family val="2"/>
    </font>
    <font>
      <sz val="10"/>
      <name val="Arial"/>
      <family val="2"/>
    </font>
    <font>
      <sz val="11"/>
      <color rgb="FF000000"/>
      <name val="Calibri"/>
      <family val="2"/>
      <scheme val="minor"/>
    </font>
  </fonts>
  <fills count="5">
    <fill>
      <patternFill patternType="none"/>
    </fill>
    <fill>
      <patternFill patternType="gray125"/>
    </fill>
    <fill>
      <patternFill patternType="solid">
        <fgColor theme="4" tint="-0.249977111117893"/>
        <bgColor indexed="64"/>
      </patternFill>
    </fill>
    <fill>
      <patternFill patternType="solid">
        <fgColor theme="4" tint="0.59999389629810485"/>
        <bgColor indexed="65"/>
      </patternFill>
    </fill>
    <fill>
      <patternFill patternType="solid">
        <fgColor theme="0"/>
        <bgColor indexed="64"/>
      </patternFill>
    </fill>
  </fills>
  <borders count="2">
    <border>
      <left/>
      <right/>
      <top/>
      <bottom/>
      <diagonal/>
    </border>
    <border>
      <left/>
      <right/>
      <top/>
      <bottom style="thick">
        <color theme="4" tint="0.499984740745262"/>
      </bottom>
      <diagonal/>
    </border>
  </borders>
  <cellStyleXfs count="3">
    <xf numFmtId="0" fontId="0" fillId="0" borderId="0"/>
    <xf numFmtId="0" fontId="1" fillId="0" borderId="1" applyNumberFormat="0" applyFill="0" applyAlignment="0" applyProtection="0"/>
    <xf numFmtId="0" fontId="2" fillId="3" borderId="0" applyNumberFormat="0" applyBorder="0" applyAlignment="0" applyProtection="0"/>
  </cellStyleXfs>
  <cellXfs count="21">
    <xf numFmtId="0" fontId="0" fillId="0" borderId="0" xfId="0"/>
    <xf numFmtId="0" fontId="0" fillId="2" borderId="0" xfId="0" applyFill="1"/>
    <xf numFmtId="0" fontId="2" fillId="3" borderId="0" xfId="2"/>
    <xf numFmtId="0" fontId="0" fillId="0" borderId="0" xfId="0" applyAlignment="1">
      <alignment horizontal="center"/>
    </xf>
    <xf numFmtId="0" fontId="0" fillId="2" borderId="0" xfId="0" applyFill="1" applyAlignment="1">
      <alignment wrapText="1"/>
    </xf>
    <xf numFmtId="0" fontId="0" fillId="4" borderId="0" xfId="0" applyFill="1"/>
    <xf numFmtId="0" fontId="0" fillId="0" borderId="0" xfId="0" applyFill="1"/>
    <xf numFmtId="0" fontId="1" fillId="4" borderId="1" xfId="1" applyFill="1"/>
    <xf numFmtId="0" fontId="3" fillId="0" borderId="0" xfId="0" applyFont="1" applyAlignment="1">
      <alignment horizontal="center"/>
    </xf>
    <xf numFmtId="0" fontId="4" fillId="0" borderId="0" xfId="0" applyFont="1"/>
    <xf numFmtId="0" fontId="4" fillId="0" borderId="0" xfId="0" applyFont="1" applyAlignment="1">
      <alignment horizontal="center"/>
    </xf>
    <xf numFmtId="0" fontId="5" fillId="0" borderId="0" xfId="0" applyFont="1" applyAlignment="1">
      <alignment horizontal="center"/>
    </xf>
    <xf numFmtId="0" fontId="0" fillId="0" borderId="0" xfId="0" applyFill="1" applyAlignment="1">
      <alignment horizontal="center"/>
    </xf>
    <xf numFmtId="0" fontId="5" fillId="0" borderId="0" xfId="0" applyFont="1" applyFill="1" applyAlignment="1">
      <alignment horizontal="center"/>
    </xf>
    <xf numFmtId="0" fontId="0" fillId="0" borderId="0" xfId="0" applyAlignment="1">
      <alignment horizontal="center" vertical="center"/>
    </xf>
    <xf numFmtId="0" fontId="4" fillId="0" borderId="0" xfId="0" applyFont="1" applyAlignment="1">
      <alignment horizontal="left"/>
    </xf>
    <xf numFmtId="0" fontId="5" fillId="0" borderId="0" xfId="0" applyFont="1"/>
    <xf numFmtId="0" fontId="5" fillId="0" borderId="0" xfId="0" applyFont="1" applyAlignment="1">
      <alignment horizontal="left"/>
    </xf>
    <xf numFmtId="0" fontId="4" fillId="0" borderId="0" xfId="0" applyFont="1" applyFill="1" applyAlignment="1">
      <alignment horizontal="center"/>
    </xf>
    <xf numFmtId="0" fontId="0" fillId="4" borderId="0" xfId="0" applyFill="1" applyAlignment="1">
      <alignment vertical="top" wrapText="1"/>
    </xf>
    <xf numFmtId="0" fontId="0" fillId="4" borderId="0" xfId="0" applyFill="1" applyAlignment="1">
      <alignment vertical="top"/>
    </xf>
  </cellXfs>
  <cellStyles count="3">
    <cellStyle name="40% - Accent1" xfId="2" builtinId="31"/>
    <cellStyle name="Heading 2" xfId="1" builtinId="17"/>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3</xdr:col>
          <xdr:colOff>0</xdr:colOff>
          <xdr:row>9</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Scan for Reportables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7</xdr:row>
          <xdr:rowOff>47625</xdr:rowOff>
        </xdr:from>
        <xdr:to>
          <xdr:col>4</xdr:col>
          <xdr:colOff>1895475</xdr:colOff>
          <xdr:row>8</xdr:row>
          <xdr:rowOff>123825</xdr:rowOff>
        </xdr:to>
        <xdr:sp macro="" textlink="">
          <xdr:nvSpPr>
            <xdr:cNvPr id="1026" name="Units"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190500</xdr:colOff>
          <xdr:row>5</xdr:row>
          <xdr:rowOff>180975</xdr:rowOff>
        </xdr:from>
        <xdr:to>
          <xdr:col>4</xdr:col>
          <xdr:colOff>1828800</xdr:colOff>
          <xdr:row>7</xdr:row>
          <xdr:rowOff>47625</xdr:rowOff>
        </xdr:to>
        <xdr:sp macro="" textlink="">
          <xdr:nvSpPr>
            <xdr:cNvPr id="1027" name="Mass"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xdr:row>
          <xdr:rowOff>133350</xdr:rowOff>
        </xdr:from>
        <xdr:to>
          <xdr:col>4</xdr:col>
          <xdr:colOff>1838325</xdr:colOff>
          <xdr:row>5</xdr:row>
          <xdr:rowOff>180975</xdr:rowOff>
        </xdr:to>
        <xdr:sp macro="" textlink="">
          <xdr:nvSpPr>
            <xdr:cNvPr id="1028" name="Surface"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5</xdr:row>
          <xdr:rowOff>19050</xdr:rowOff>
        </xdr:from>
        <xdr:to>
          <xdr:col>6</xdr:col>
          <xdr:colOff>1666875</xdr:colOff>
          <xdr:row>6</xdr:row>
          <xdr:rowOff>95250</xdr:rowOff>
        </xdr:to>
        <xdr:sp macro="" textlink="">
          <xdr:nvSpPr>
            <xdr:cNvPr id="1029" name="milli"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6</xdr:row>
          <xdr:rowOff>114300</xdr:rowOff>
        </xdr:from>
        <xdr:to>
          <xdr:col>6</xdr:col>
          <xdr:colOff>1695450</xdr:colOff>
          <xdr:row>8</xdr:row>
          <xdr:rowOff>0</xdr:rowOff>
        </xdr:to>
        <xdr:sp macro="" textlink="">
          <xdr:nvSpPr>
            <xdr:cNvPr id="1030" name="liters"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Results%20Su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S-VOC"/>
      <sheetName val="VOC"/>
      <sheetName val="SVOC"/>
      <sheetName val="NVOC"/>
      <sheetName val="LCUV"/>
      <sheetName val="pH - Conductivity"/>
      <sheetName val="TOC"/>
      <sheetName val="CAS #"/>
    </sheetNames>
    <sheetDataSet>
      <sheetData sheetId="0"/>
      <sheetData sheetId="1">
        <row r="1">
          <cell r="A1" t="str">
            <v>16-00431-N1</v>
          </cell>
        </row>
      </sheetData>
      <sheetData sheetId="2"/>
      <sheetData sheetId="3"/>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100"/>
  <sheetViews>
    <sheetView tabSelected="1" workbookViewId="0">
      <selection activeCell="C31" sqref="C31"/>
    </sheetView>
  </sheetViews>
  <sheetFormatPr defaultRowHeight="15" x14ac:dyDescent="0.25"/>
  <cols>
    <col min="1" max="1" width="13.140625" customWidth="1"/>
    <col min="2" max="4" width="7.42578125" customWidth="1"/>
    <col min="5" max="5" width="41.140625" customWidth="1"/>
    <col min="6" max="6" width="26.42578125" customWidth="1"/>
    <col min="7" max="7" width="29.28515625" customWidth="1"/>
    <col min="8" max="8" width="38.140625" customWidth="1"/>
    <col min="9" max="9" width="25.5703125" customWidth="1"/>
    <col min="10" max="10" width="20" customWidth="1"/>
    <col min="11" max="11" width="18.5703125" customWidth="1"/>
  </cols>
  <sheetData>
    <row r="1" spans="1:10" x14ac:dyDescent="0.25">
      <c r="D1" s="1"/>
      <c r="E1" s="1"/>
      <c r="F1" s="1"/>
      <c r="G1" s="1"/>
      <c r="H1" s="1"/>
      <c r="I1" s="1"/>
      <c r="J1" s="1"/>
    </row>
    <row r="2" spans="1:10" x14ac:dyDescent="0.25">
      <c r="D2" s="1"/>
      <c r="E2" s="5"/>
      <c r="F2" s="5"/>
      <c r="J2" s="1"/>
    </row>
    <row r="3" spans="1:10" ht="17.25" x14ac:dyDescent="0.25">
      <c r="D3" s="1"/>
      <c r="E3" s="5"/>
      <c r="F3" s="5"/>
      <c r="G3" t="s">
        <v>3</v>
      </c>
      <c r="H3" s="2">
        <v>8</v>
      </c>
      <c r="I3" t="s">
        <v>4</v>
      </c>
      <c r="J3" s="1"/>
    </row>
    <row r="4" spans="1:10" ht="18" thickBot="1" x14ac:dyDescent="0.35">
      <c r="A4" s="1"/>
      <c r="B4" s="1"/>
      <c r="C4" s="1"/>
      <c r="D4" s="1"/>
      <c r="E4" s="7" t="s">
        <v>0</v>
      </c>
      <c r="F4" s="5"/>
      <c r="J4" s="1"/>
    </row>
    <row r="5" spans="1:10" ht="15.75" thickTop="1" x14ac:dyDescent="0.25">
      <c r="A5" s="1"/>
      <c r="B5" s="1"/>
      <c r="C5" s="1"/>
      <c r="D5" s="1"/>
      <c r="E5" s="5"/>
      <c r="F5" s="5"/>
      <c r="G5" t="s">
        <v>1</v>
      </c>
      <c r="H5" s="2">
        <v>120</v>
      </c>
      <c r="I5" t="s">
        <v>2</v>
      </c>
      <c r="J5" s="1"/>
    </row>
    <row r="6" spans="1:10" x14ac:dyDescent="0.25">
      <c r="A6" s="4"/>
      <c r="B6" s="1"/>
      <c r="C6" s="1"/>
      <c r="D6" s="1"/>
      <c r="E6" s="5"/>
      <c r="F6" s="5"/>
      <c r="J6" s="1"/>
    </row>
    <row r="7" spans="1:10" x14ac:dyDescent="0.25">
      <c r="A7" s="1"/>
      <c r="B7" s="1"/>
      <c r="C7" s="1"/>
      <c r="D7" s="1"/>
      <c r="E7" s="5"/>
      <c r="F7" s="5"/>
      <c r="J7" s="1"/>
    </row>
    <row r="8" spans="1:10" x14ac:dyDescent="0.25">
      <c r="A8" s="1"/>
      <c r="B8" s="1"/>
      <c r="C8" s="1"/>
      <c r="D8" s="1"/>
      <c r="E8" s="5"/>
      <c r="F8" s="5"/>
      <c r="J8" s="1"/>
    </row>
    <row r="9" spans="1:10" x14ac:dyDescent="0.25">
      <c r="A9" s="1"/>
      <c r="B9" s="1"/>
      <c r="C9" s="1"/>
      <c r="D9" s="1"/>
      <c r="E9" s="5"/>
      <c r="F9" s="5"/>
      <c r="G9" s="6"/>
      <c r="H9" s="6"/>
      <c r="I9" s="6"/>
      <c r="J9" s="1"/>
    </row>
    <row r="10" spans="1:10" x14ac:dyDescent="0.25">
      <c r="A10" s="1"/>
      <c r="B10" s="1"/>
      <c r="C10" s="1"/>
      <c r="D10" s="1"/>
      <c r="E10" s="1"/>
      <c r="F10" s="1"/>
      <c r="G10" s="1"/>
      <c r="H10" s="1"/>
      <c r="I10" s="1"/>
      <c r="J10" s="1"/>
    </row>
    <row r="11" spans="1:10" x14ac:dyDescent="0.25">
      <c r="A11" s="1"/>
      <c r="B11" s="1"/>
      <c r="C11" s="1"/>
      <c r="D11" s="1"/>
      <c r="E11" s="1"/>
      <c r="F11" s="1"/>
      <c r="G11" s="1"/>
      <c r="H11" s="1"/>
      <c r="I11" s="1"/>
      <c r="J11" s="1"/>
    </row>
    <row r="12" spans="1:10" x14ac:dyDescent="0.25">
      <c r="A12" s="1"/>
      <c r="B12" s="1"/>
      <c r="C12" s="1"/>
      <c r="D12" s="1"/>
      <c r="E12" s="1"/>
      <c r="F12" s="1"/>
      <c r="G12" s="1"/>
      <c r="H12" s="1"/>
      <c r="I12" s="1"/>
      <c r="J12" s="1"/>
    </row>
    <row r="13" spans="1:10" x14ac:dyDescent="0.25">
      <c r="A13" s="1"/>
      <c r="B13" s="1"/>
      <c r="C13" s="1"/>
      <c r="D13" s="1"/>
      <c r="E13" s="1"/>
      <c r="F13" s="1"/>
      <c r="G13" s="1"/>
      <c r="H13" s="1"/>
      <c r="I13" s="1"/>
      <c r="J13" s="1"/>
    </row>
    <row r="14" spans="1:10" x14ac:dyDescent="0.25">
      <c r="A14" s="1"/>
      <c r="B14" s="1"/>
      <c r="C14" s="1"/>
      <c r="D14" s="1"/>
      <c r="E14" s="1"/>
      <c r="F14" s="1"/>
      <c r="G14" s="1"/>
      <c r="H14" s="1"/>
      <c r="I14" s="1"/>
      <c r="J14" s="1"/>
    </row>
    <row r="15" spans="1:10" x14ac:dyDescent="0.25">
      <c r="A15" s="1"/>
      <c r="B15" s="1"/>
      <c r="C15" s="1"/>
      <c r="D15" s="1"/>
      <c r="E15" s="1"/>
      <c r="F15" s="1"/>
      <c r="G15" s="1"/>
      <c r="H15" s="1"/>
      <c r="I15" s="1"/>
      <c r="J15" s="1"/>
    </row>
    <row r="16" spans="1:10" x14ac:dyDescent="0.25">
      <c r="A16" s="1"/>
      <c r="B16" s="1"/>
      <c r="C16" s="1"/>
      <c r="D16" s="1"/>
      <c r="E16" s="19" t="s">
        <v>26</v>
      </c>
      <c r="F16" s="20"/>
      <c r="G16" s="20"/>
      <c r="H16" s="20"/>
      <c r="I16" s="20"/>
      <c r="J16" s="1"/>
    </row>
    <row r="17" spans="1:10" x14ac:dyDescent="0.25">
      <c r="A17" s="1"/>
      <c r="B17" s="1"/>
      <c r="C17" s="1"/>
      <c r="D17" s="1"/>
      <c r="E17" s="20"/>
      <c r="F17" s="20"/>
      <c r="G17" s="20"/>
      <c r="H17" s="20"/>
      <c r="I17" s="20"/>
      <c r="J17" s="1"/>
    </row>
    <row r="18" spans="1:10" x14ac:dyDescent="0.25">
      <c r="A18" s="1"/>
      <c r="B18" s="1"/>
      <c r="C18" s="1"/>
      <c r="D18" s="1"/>
      <c r="E18" s="20"/>
      <c r="F18" s="20"/>
      <c r="G18" s="20"/>
      <c r="H18" s="20"/>
      <c r="I18" s="20"/>
      <c r="J18" s="1"/>
    </row>
    <row r="19" spans="1:10" x14ac:dyDescent="0.25">
      <c r="A19" s="1"/>
      <c r="B19" s="1"/>
      <c r="C19" s="1"/>
      <c r="D19" s="1"/>
      <c r="E19" s="20"/>
      <c r="F19" s="20"/>
      <c r="G19" s="20"/>
      <c r="H19" s="20"/>
      <c r="I19" s="20"/>
      <c r="J19" s="1"/>
    </row>
    <row r="20" spans="1:10" x14ac:dyDescent="0.25">
      <c r="A20" s="1"/>
      <c r="B20" s="1"/>
      <c r="C20" s="1"/>
      <c r="D20" s="1"/>
      <c r="E20" s="20"/>
      <c r="F20" s="20"/>
      <c r="G20" s="20"/>
      <c r="H20" s="20"/>
      <c r="I20" s="20"/>
      <c r="J20" s="1"/>
    </row>
    <row r="21" spans="1:10" x14ac:dyDescent="0.25">
      <c r="A21" s="1"/>
      <c r="B21" s="1"/>
      <c r="C21" s="1"/>
      <c r="D21" s="1"/>
      <c r="E21" s="20"/>
      <c r="F21" s="20"/>
      <c r="G21" s="20"/>
      <c r="H21" s="20"/>
      <c r="I21" s="20"/>
      <c r="J21" s="1"/>
    </row>
    <row r="22" spans="1:10" x14ac:dyDescent="0.25">
      <c r="A22" s="1"/>
      <c r="B22" s="1"/>
      <c r="C22" s="1"/>
      <c r="D22" s="1"/>
      <c r="E22" s="20"/>
      <c r="F22" s="20"/>
      <c r="G22" s="20"/>
      <c r="H22" s="20"/>
      <c r="I22" s="20"/>
      <c r="J22" s="1"/>
    </row>
    <row r="23" spans="1:10" x14ac:dyDescent="0.25">
      <c r="A23" s="1"/>
      <c r="B23" s="1"/>
      <c r="C23" s="1"/>
      <c r="D23" s="1"/>
      <c r="E23" s="20"/>
      <c r="F23" s="20"/>
      <c r="G23" s="20"/>
      <c r="H23" s="20"/>
      <c r="I23" s="20"/>
      <c r="J23" s="1"/>
    </row>
    <row r="24" spans="1:10" x14ac:dyDescent="0.25">
      <c r="A24" s="1"/>
      <c r="B24" s="1"/>
      <c r="C24" s="1"/>
      <c r="D24" s="1"/>
      <c r="E24" s="20"/>
      <c r="F24" s="20"/>
      <c r="G24" s="20"/>
      <c r="H24" s="20"/>
      <c r="I24" s="20"/>
      <c r="J24" s="1"/>
    </row>
    <row r="25" spans="1:10" x14ac:dyDescent="0.25">
      <c r="A25" s="1"/>
      <c r="B25" s="1"/>
      <c r="C25" s="1"/>
      <c r="D25" s="1"/>
      <c r="E25" s="1"/>
      <c r="F25" s="1"/>
      <c r="G25" s="1"/>
      <c r="H25" s="1"/>
      <c r="I25" s="1"/>
      <c r="J25" s="1"/>
    </row>
    <row r="26" spans="1:10" x14ac:dyDescent="0.25">
      <c r="A26" s="1"/>
      <c r="B26" s="1"/>
      <c r="C26" s="1"/>
      <c r="D26" s="1"/>
      <c r="E26" s="1"/>
      <c r="F26" s="1"/>
      <c r="G26" s="1"/>
      <c r="H26" s="1"/>
      <c r="I26" s="1"/>
      <c r="J26" s="1"/>
    </row>
    <row r="27" spans="1:10" x14ac:dyDescent="0.25">
      <c r="A27" s="1"/>
      <c r="B27" s="1"/>
      <c r="C27" s="1"/>
      <c r="D27" s="1"/>
      <c r="E27" s="1"/>
      <c r="F27" s="1"/>
      <c r="G27" s="1"/>
      <c r="H27" s="1"/>
      <c r="I27" s="1"/>
      <c r="J27" s="1"/>
    </row>
    <row r="28" spans="1:10" x14ac:dyDescent="0.25">
      <c r="A28" s="1"/>
      <c r="B28" s="1"/>
      <c r="C28" s="1"/>
      <c r="D28" s="1"/>
      <c r="E28" s="1"/>
      <c r="F28" s="1"/>
      <c r="G28" s="1"/>
      <c r="H28" s="1"/>
      <c r="I28" s="1"/>
      <c r="J28" s="1"/>
    </row>
    <row r="29" spans="1:10" x14ac:dyDescent="0.25">
      <c r="A29" s="1"/>
      <c r="B29" s="1"/>
      <c r="C29" s="1"/>
      <c r="D29" s="1"/>
      <c r="E29" s="1"/>
      <c r="F29" s="1"/>
      <c r="G29" s="1"/>
      <c r="H29" s="1"/>
      <c r="I29" s="1"/>
      <c r="J29" s="1"/>
    </row>
    <row r="30" spans="1:10" x14ac:dyDescent="0.25">
      <c r="A30" s="1"/>
      <c r="B30" s="1"/>
      <c r="C30" s="1"/>
      <c r="D30" s="1"/>
      <c r="E30" s="1"/>
      <c r="F30" s="1"/>
      <c r="G30" s="1"/>
      <c r="H30" s="1"/>
      <c r="I30" s="1"/>
      <c r="J30" s="1"/>
    </row>
    <row r="31" spans="1:10" x14ac:dyDescent="0.25">
      <c r="A31" s="1"/>
      <c r="B31" s="1"/>
      <c r="C31" s="1"/>
      <c r="D31" s="1"/>
      <c r="E31" s="1"/>
      <c r="F31" s="1"/>
      <c r="G31" s="1"/>
      <c r="H31" s="1"/>
      <c r="I31" s="1"/>
      <c r="J31" s="1"/>
    </row>
    <row r="32" spans="1:10" x14ac:dyDescent="0.25">
      <c r="A32" s="1"/>
      <c r="B32" s="1"/>
      <c r="C32" s="1"/>
      <c r="D32" s="1"/>
      <c r="E32" s="1"/>
      <c r="F32" s="1"/>
      <c r="G32" s="1"/>
      <c r="H32" s="1"/>
      <c r="I32" s="1"/>
      <c r="J32" s="1"/>
    </row>
    <row r="33" spans="1:10" x14ac:dyDescent="0.25">
      <c r="A33" s="1"/>
      <c r="B33" s="1"/>
      <c r="C33" s="1"/>
      <c r="D33" s="1"/>
      <c r="E33" s="1"/>
      <c r="F33" s="1"/>
      <c r="G33" s="1"/>
      <c r="H33" s="1"/>
      <c r="I33" s="1"/>
      <c r="J33" s="1"/>
    </row>
    <row r="34" spans="1:10" x14ac:dyDescent="0.25">
      <c r="A34" s="1"/>
      <c r="B34" s="1"/>
      <c r="C34" s="1"/>
      <c r="D34" s="1"/>
      <c r="E34" s="1"/>
      <c r="F34" s="1"/>
      <c r="G34" s="1"/>
      <c r="H34" s="1"/>
      <c r="I34" s="1"/>
      <c r="J34" s="1"/>
    </row>
    <row r="35" spans="1:10" x14ac:dyDescent="0.25">
      <c r="A35" s="1"/>
      <c r="B35" s="1"/>
      <c r="C35" s="1"/>
      <c r="D35" s="1"/>
      <c r="E35" s="1"/>
      <c r="F35" s="1"/>
      <c r="G35" s="1"/>
      <c r="H35" s="1"/>
      <c r="I35" s="1"/>
      <c r="J35" s="1"/>
    </row>
    <row r="36" spans="1:10" x14ac:dyDescent="0.25">
      <c r="A36" s="1"/>
      <c r="B36" s="1"/>
      <c r="C36" s="1"/>
      <c r="D36" s="1"/>
      <c r="E36" s="1"/>
      <c r="F36" s="1"/>
      <c r="G36" s="1"/>
      <c r="H36" s="1"/>
      <c r="I36" s="1"/>
      <c r="J36" s="1"/>
    </row>
    <row r="37" spans="1:10" x14ac:dyDescent="0.25">
      <c r="A37" s="1"/>
      <c r="B37" s="1"/>
      <c r="C37" s="1"/>
      <c r="D37" s="1"/>
      <c r="E37" s="1"/>
      <c r="F37" s="1"/>
      <c r="G37" s="1"/>
      <c r="H37" s="1"/>
      <c r="I37" s="1"/>
      <c r="J37" s="1"/>
    </row>
    <row r="38" spans="1:10" x14ac:dyDescent="0.25">
      <c r="A38" s="1"/>
      <c r="B38" s="1"/>
      <c r="C38" s="1"/>
      <c r="D38" s="1"/>
      <c r="E38" s="1"/>
      <c r="F38" s="1"/>
      <c r="G38" s="1"/>
      <c r="H38" s="1"/>
      <c r="I38" s="1"/>
      <c r="J38" s="1"/>
    </row>
    <row r="39" spans="1:10" x14ac:dyDescent="0.25">
      <c r="A39" s="1"/>
      <c r="B39" s="1"/>
      <c r="C39" s="1"/>
      <c r="D39" s="1"/>
      <c r="E39" s="1"/>
      <c r="F39" s="1"/>
      <c r="G39" s="1"/>
      <c r="H39" s="1"/>
      <c r="I39" s="1"/>
      <c r="J39" s="1"/>
    </row>
    <row r="40" spans="1:10" x14ac:dyDescent="0.25">
      <c r="A40" s="1"/>
      <c r="B40" s="1"/>
      <c r="C40" s="1"/>
      <c r="D40" s="1"/>
      <c r="E40" s="1"/>
      <c r="F40" s="1"/>
      <c r="G40" s="1"/>
      <c r="H40" s="1"/>
      <c r="I40" s="1"/>
      <c r="J40" s="1"/>
    </row>
    <row r="100" spans="1:1" x14ac:dyDescent="0.25">
      <c r="A100">
        <v>1</v>
      </c>
    </row>
  </sheetData>
  <mergeCells count="1">
    <mergeCell ref="E16:I24"/>
  </mergeCells>
  <pageMargins left="0.7" right="0.7" top="0.75" bottom="0.75" header="0.3" footer="0.3"/>
  <pageSetup orientation="portrait" r:id="rId1"/>
  <drawing r:id="rId2"/>
  <legacyDrawing r:id="rId3"/>
  <controls>
    <mc:AlternateContent xmlns:mc="http://schemas.openxmlformats.org/markup-compatibility/2006">
      <mc:Choice Requires="x14">
        <control shapeId="1028" r:id="rId4" name="Surface">
          <controlPr defaultSize="0" autoLine="0" r:id="rId5">
            <anchor moveWithCells="1">
              <from>
                <xdr:col>4</xdr:col>
                <xdr:colOff>180975</xdr:colOff>
                <xdr:row>4</xdr:row>
                <xdr:rowOff>133350</xdr:rowOff>
              </from>
              <to>
                <xdr:col>4</xdr:col>
                <xdr:colOff>1838325</xdr:colOff>
                <xdr:row>5</xdr:row>
                <xdr:rowOff>180975</xdr:rowOff>
              </to>
            </anchor>
          </controlPr>
        </control>
      </mc:Choice>
      <mc:Fallback>
        <control shapeId="1028" r:id="rId4" name="Surface"/>
      </mc:Fallback>
    </mc:AlternateContent>
    <mc:AlternateContent xmlns:mc="http://schemas.openxmlformats.org/markup-compatibility/2006">
      <mc:Choice Requires="x14">
        <control shapeId="1027" r:id="rId6" name="Mass">
          <controlPr defaultSize="0" autoLine="0" r:id="rId7">
            <anchor moveWithCells="1">
              <from>
                <xdr:col>4</xdr:col>
                <xdr:colOff>190500</xdr:colOff>
                <xdr:row>5</xdr:row>
                <xdr:rowOff>180975</xdr:rowOff>
              </from>
              <to>
                <xdr:col>4</xdr:col>
                <xdr:colOff>1828800</xdr:colOff>
                <xdr:row>7</xdr:row>
                <xdr:rowOff>47625</xdr:rowOff>
              </to>
            </anchor>
          </controlPr>
        </control>
      </mc:Choice>
      <mc:Fallback>
        <control shapeId="1027" r:id="rId6" name="Mass"/>
      </mc:Fallback>
    </mc:AlternateContent>
    <mc:AlternateContent xmlns:mc="http://schemas.openxmlformats.org/markup-compatibility/2006">
      <mc:Choice Requires="x14">
        <control shapeId="1026" r:id="rId8" name="Units">
          <controlPr defaultSize="0" autoLine="0" r:id="rId9">
            <anchor moveWithCells="1">
              <from>
                <xdr:col>4</xdr:col>
                <xdr:colOff>190500</xdr:colOff>
                <xdr:row>7</xdr:row>
                <xdr:rowOff>47625</xdr:rowOff>
              </from>
              <to>
                <xdr:col>4</xdr:col>
                <xdr:colOff>1895475</xdr:colOff>
                <xdr:row>8</xdr:row>
                <xdr:rowOff>123825</xdr:rowOff>
              </to>
            </anchor>
          </controlPr>
        </control>
      </mc:Choice>
      <mc:Fallback>
        <control shapeId="1026" r:id="rId8" name="Units"/>
      </mc:Fallback>
    </mc:AlternateContent>
    <mc:AlternateContent xmlns:mc="http://schemas.openxmlformats.org/markup-compatibility/2006">
      <mc:Choice Requires="x14">
        <control shapeId="1029" r:id="rId10" name="milli">
          <controlPr defaultSize="0" autoLine="0" r:id="rId11">
            <anchor moveWithCells="1">
              <from>
                <xdr:col>6</xdr:col>
                <xdr:colOff>9525</xdr:colOff>
                <xdr:row>5</xdr:row>
                <xdr:rowOff>19050</xdr:rowOff>
              </from>
              <to>
                <xdr:col>6</xdr:col>
                <xdr:colOff>1666875</xdr:colOff>
                <xdr:row>6</xdr:row>
                <xdr:rowOff>95250</xdr:rowOff>
              </to>
            </anchor>
          </controlPr>
        </control>
      </mc:Choice>
      <mc:Fallback>
        <control shapeId="1029" r:id="rId10" name="milli"/>
      </mc:Fallback>
    </mc:AlternateContent>
    <mc:AlternateContent xmlns:mc="http://schemas.openxmlformats.org/markup-compatibility/2006">
      <mc:Choice Requires="x14">
        <control shapeId="1030" r:id="rId12" name="liters">
          <controlPr defaultSize="0" autoLine="0" r:id="rId13">
            <anchor moveWithCells="1">
              <from>
                <xdr:col>6</xdr:col>
                <xdr:colOff>28575</xdr:colOff>
                <xdr:row>6</xdr:row>
                <xdr:rowOff>114300</xdr:rowOff>
              </from>
              <to>
                <xdr:col>6</xdr:col>
                <xdr:colOff>1695450</xdr:colOff>
                <xdr:row>8</xdr:row>
                <xdr:rowOff>0</xdr:rowOff>
              </to>
            </anchor>
          </controlPr>
        </control>
      </mc:Choice>
      <mc:Fallback>
        <control shapeId="1030" r:id="rId12" name="liters"/>
      </mc:Fallback>
    </mc:AlternateContent>
    <mc:AlternateContent xmlns:mc="http://schemas.openxmlformats.org/markup-compatibility/2006">
      <mc:Choice Requires="x14">
        <control shapeId="1025" r:id="rId14" name="Button 1">
          <controlPr defaultSize="0" print="0" autoFill="0" autoPict="0" macro="[0]!BrianMacro">
            <anchor moveWithCells="1" sizeWithCells="1">
              <from>
                <xdr:col>0</xdr:col>
                <xdr:colOff>19050</xdr:colOff>
                <xdr:row>0</xdr:row>
                <xdr:rowOff>19050</xdr:rowOff>
              </from>
              <to>
                <xdr:col>3</xdr:col>
                <xdr:colOff>0</xdr:colOff>
                <xdr:row>9</xdr:row>
                <xdr:rowOff>19050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5"/>
  <dimension ref="A1:L27"/>
  <sheetViews>
    <sheetView workbookViewId="0">
      <selection activeCell="E11" sqref="E11"/>
    </sheetView>
  </sheetViews>
  <sheetFormatPr defaultRowHeight="15" x14ac:dyDescent="0.25"/>
  <cols>
    <col min="1" max="1" width="32.42578125" customWidth="1"/>
    <col min="2" max="2" width="27.28515625" customWidth="1"/>
    <col min="3" max="3" width="25.85546875" customWidth="1"/>
    <col min="4" max="4" width="23" customWidth="1"/>
    <col min="5" max="5" width="21.7109375" customWidth="1"/>
    <col min="6" max="6" width="17.85546875" customWidth="1"/>
    <col min="7" max="7" width="13.85546875" customWidth="1"/>
    <col min="8" max="8" width="21.28515625" customWidth="1"/>
    <col min="9" max="9" width="14.85546875" customWidth="1"/>
    <col min="10" max="10" width="15.42578125" customWidth="1"/>
  </cols>
  <sheetData>
    <row r="1" spans="1:12" x14ac:dyDescent="0.25">
      <c r="A1" s="8" t="s">
        <v>52</v>
      </c>
      <c r="B1" s="3"/>
      <c r="C1" s="9" t="s">
        <v>25</v>
      </c>
    </row>
    <row r="2" spans="1:12" x14ac:dyDescent="0.25">
      <c r="A2" s="3"/>
      <c r="B2" s="3"/>
      <c r="C2" s="3"/>
      <c r="D2" s="3"/>
      <c r="E2" s="3"/>
      <c r="F2" s="3"/>
      <c r="G2" s="3"/>
      <c r="H2" s="3"/>
      <c r="I2" s="10" t="s">
        <v>27</v>
      </c>
      <c r="J2" s="10" t="s">
        <v>28</v>
      </c>
    </row>
    <row r="3" spans="1:12" x14ac:dyDescent="0.25">
      <c r="A3" s="3"/>
      <c r="B3" s="3"/>
      <c r="C3" s="3"/>
      <c r="D3" s="3"/>
      <c r="E3" s="10" t="s">
        <v>29</v>
      </c>
      <c r="F3" s="10" t="s">
        <v>30</v>
      </c>
      <c r="G3" s="10" t="s">
        <v>31</v>
      </c>
      <c r="H3" s="10" t="s">
        <v>32</v>
      </c>
      <c r="I3" s="10" t="s">
        <v>32</v>
      </c>
      <c r="J3" s="10" t="s">
        <v>33</v>
      </c>
    </row>
    <row r="4" spans="1:12" x14ac:dyDescent="0.25">
      <c r="A4" s="3"/>
      <c r="B4" s="3"/>
      <c r="C4" s="10" t="s">
        <v>5</v>
      </c>
      <c r="D4" s="10" t="s">
        <v>34</v>
      </c>
      <c r="E4" s="10" t="s">
        <v>6</v>
      </c>
      <c r="F4" s="10" t="s">
        <v>35</v>
      </c>
      <c r="G4" s="10" t="s">
        <v>36</v>
      </c>
      <c r="H4" s="10" t="s">
        <v>6</v>
      </c>
      <c r="I4" s="10" t="s">
        <v>6</v>
      </c>
      <c r="J4" s="10" t="s">
        <v>37</v>
      </c>
      <c r="K4" s="10" t="s">
        <v>38</v>
      </c>
      <c r="L4" s="10" t="s">
        <v>7</v>
      </c>
    </row>
    <row r="5" spans="1:12" x14ac:dyDescent="0.25">
      <c r="A5" s="10" t="s">
        <v>53</v>
      </c>
      <c r="B5" s="11" t="s">
        <v>54</v>
      </c>
      <c r="C5" s="11"/>
      <c r="D5" s="3"/>
      <c r="E5" s="3"/>
      <c r="F5" s="3"/>
      <c r="G5" s="3"/>
      <c r="H5" s="3"/>
      <c r="I5" s="12"/>
      <c r="J5" s="13"/>
      <c r="K5" s="11"/>
      <c r="L5" s="11"/>
    </row>
    <row r="6" spans="1:12" x14ac:dyDescent="0.25">
      <c r="A6" s="10"/>
      <c r="B6" s="11"/>
      <c r="C6" s="11"/>
      <c r="D6" s="3"/>
      <c r="E6" s="3"/>
      <c r="F6" s="3"/>
      <c r="G6" s="3"/>
      <c r="H6" s="3"/>
      <c r="I6" s="12"/>
      <c r="J6" s="13"/>
      <c r="K6" s="11"/>
      <c r="L6" s="11"/>
    </row>
    <row r="7" spans="1:12" x14ac:dyDescent="0.25">
      <c r="A7" s="10"/>
      <c r="B7" s="11"/>
      <c r="C7" s="11"/>
      <c r="D7" s="3"/>
      <c r="E7" s="3"/>
      <c r="F7" s="3"/>
      <c r="G7" s="3"/>
      <c r="H7" s="3"/>
      <c r="I7" s="12"/>
      <c r="J7" s="13"/>
      <c r="K7" s="11"/>
      <c r="L7" s="11"/>
    </row>
    <row r="8" spans="1:12" x14ac:dyDescent="0.25">
      <c r="A8" s="10"/>
      <c r="B8" s="11"/>
      <c r="C8" s="11"/>
      <c r="D8" s="3"/>
      <c r="E8" s="3"/>
      <c r="F8" s="3"/>
      <c r="G8" s="3"/>
      <c r="H8" s="3"/>
      <c r="I8" s="12"/>
      <c r="J8" s="13"/>
      <c r="K8" s="11"/>
      <c r="L8" s="11"/>
    </row>
    <row r="9" spans="1:12" x14ac:dyDescent="0.25">
      <c r="A9" s="10"/>
      <c r="B9" s="11" t="s">
        <v>55</v>
      </c>
      <c r="C9" s="11"/>
      <c r="D9" s="3"/>
      <c r="E9" s="3"/>
      <c r="F9" s="3"/>
      <c r="G9" s="3"/>
      <c r="H9" s="3"/>
      <c r="I9" s="12"/>
      <c r="J9" s="13"/>
      <c r="K9" s="11"/>
      <c r="L9" s="11"/>
    </row>
    <row r="10" spans="1:12" x14ac:dyDescent="0.25">
      <c r="A10" s="10"/>
      <c r="B10" s="11"/>
      <c r="C10" s="11"/>
      <c r="D10" s="3"/>
      <c r="E10" s="3"/>
      <c r="F10" s="3"/>
      <c r="G10" s="3"/>
      <c r="H10" s="3"/>
      <c r="I10" s="12"/>
      <c r="J10" s="13"/>
      <c r="K10" s="11"/>
      <c r="L10" s="11"/>
    </row>
    <row r="11" spans="1:12" x14ac:dyDescent="0.25">
      <c r="A11" s="10"/>
      <c r="B11" s="11"/>
      <c r="C11" s="11"/>
      <c r="D11" s="3"/>
      <c r="E11" s="3"/>
      <c r="F11" s="3"/>
      <c r="G11" s="3"/>
      <c r="H11" s="3"/>
      <c r="I11" s="12"/>
      <c r="J11" s="13"/>
      <c r="K11" s="11"/>
      <c r="L11" s="11"/>
    </row>
    <row r="12" spans="1:12" x14ac:dyDescent="0.25">
      <c r="A12" s="10"/>
      <c r="B12" s="11"/>
      <c r="C12" s="11"/>
      <c r="D12" s="3"/>
      <c r="E12" s="3"/>
      <c r="F12" s="3"/>
      <c r="G12" s="3"/>
      <c r="H12" s="3"/>
      <c r="I12" s="12"/>
      <c r="J12" s="13"/>
      <c r="K12" s="11"/>
      <c r="L12" s="11"/>
    </row>
    <row r="13" spans="1:12" x14ac:dyDescent="0.25">
      <c r="A13" s="10"/>
      <c r="B13" s="3" t="s">
        <v>56</v>
      </c>
      <c r="C13" s="11"/>
      <c r="D13" s="14"/>
      <c r="E13" s="14"/>
      <c r="F13" s="3"/>
      <c r="G13" s="3"/>
      <c r="H13" s="3"/>
      <c r="I13" s="3"/>
      <c r="J13" s="10"/>
      <c r="K13" s="11"/>
      <c r="L13" s="11"/>
    </row>
    <row r="14" spans="1:12" x14ac:dyDescent="0.25">
      <c r="A14" s="3"/>
      <c r="B14" s="3"/>
      <c r="C14" s="11"/>
      <c r="D14" s="14"/>
      <c r="E14" s="14"/>
      <c r="F14" s="3"/>
      <c r="G14" s="3"/>
      <c r="H14" s="3"/>
      <c r="I14" s="3"/>
      <c r="J14" s="10"/>
      <c r="K14" s="11"/>
      <c r="L14" s="3"/>
    </row>
    <row r="15" spans="1:12" x14ac:dyDescent="0.25">
      <c r="A15" s="3"/>
      <c r="B15" s="3"/>
      <c r="C15" s="11"/>
      <c r="D15" s="14"/>
      <c r="E15" s="14"/>
      <c r="F15" s="3"/>
      <c r="G15" s="3"/>
      <c r="H15" s="3"/>
      <c r="I15" s="3"/>
      <c r="J15" s="10"/>
      <c r="K15" s="11"/>
      <c r="L15" s="11"/>
    </row>
    <row r="16" spans="1:12" x14ac:dyDescent="0.25">
      <c r="A16" s="3"/>
      <c r="B16" s="3"/>
      <c r="C16" s="11"/>
      <c r="D16" s="14"/>
      <c r="E16" s="14"/>
      <c r="F16" s="3"/>
      <c r="G16" s="3"/>
      <c r="H16" s="3"/>
      <c r="I16" s="12"/>
      <c r="J16" s="10"/>
      <c r="K16" s="11"/>
      <c r="L16" s="11"/>
    </row>
    <row r="17" spans="1:12" x14ac:dyDescent="0.25">
      <c r="A17" s="3"/>
      <c r="B17" s="3"/>
      <c r="C17" s="11"/>
      <c r="D17" s="14"/>
      <c r="E17" s="14"/>
      <c r="F17" s="3"/>
      <c r="G17" s="3"/>
      <c r="H17" s="3"/>
      <c r="I17" s="12"/>
      <c r="J17" s="11"/>
      <c r="K17" s="11"/>
      <c r="L17" s="11"/>
    </row>
    <row r="18" spans="1:12" x14ac:dyDescent="0.25">
      <c r="A18" s="3"/>
      <c r="B18" s="3"/>
      <c r="C18" s="11"/>
      <c r="D18" s="14"/>
      <c r="E18" s="14"/>
      <c r="F18" s="3"/>
      <c r="G18" s="3"/>
      <c r="H18" s="3"/>
      <c r="I18" s="12"/>
      <c r="J18" s="10"/>
      <c r="K18" s="11"/>
      <c r="L18" s="11"/>
    </row>
    <row r="19" spans="1:12" x14ac:dyDescent="0.25">
      <c r="A19" s="3"/>
      <c r="B19" s="3"/>
      <c r="C19" s="11"/>
      <c r="D19" s="14"/>
      <c r="E19" s="14"/>
      <c r="F19" s="3"/>
      <c r="G19" s="3"/>
      <c r="H19" s="3"/>
      <c r="I19" s="3"/>
      <c r="J19" s="10"/>
      <c r="K19" s="11"/>
      <c r="L19" s="11"/>
    </row>
    <row r="20" spans="1:12" x14ac:dyDescent="0.25">
      <c r="A20" s="3"/>
      <c r="B20" s="3"/>
      <c r="C20" s="11"/>
      <c r="D20" s="14"/>
      <c r="E20" s="14"/>
      <c r="F20" s="3"/>
      <c r="G20" s="3"/>
      <c r="H20" s="3"/>
      <c r="I20" s="3"/>
      <c r="J20" s="10"/>
      <c r="K20" s="11"/>
      <c r="L20" s="11"/>
    </row>
    <row r="21" spans="1:12" x14ac:dyDescent="0.25">
      <c r="A21" s="3"/>
      <c r="B21" s="3"/>
    </row>
    <row r="22" spans="1:12" x14ac:dyDescent="0.25">
      <c r="A22" s="11"/>
      <c r="B22" s="11"/>
      <c r="C22" s="15" t="s">
        <v>46</v>
      </c>
      <c r="D22" s="9"/>
      <c r="E22" s="16"/>
      <c r="F22" s="16"/>
      <c r="G22" s="16"/>
      <c r="H22" s="16"/>
      <c r="I22" s="16"/>
      <c r="J22" s="16"/>
      <c r="K22" s="16"/>
      <c r="L22" s="16"/>
    </row>
    <row r="23" spans="1:12" x14ac:dyDescent="0.25">
      <c r="A23" s="3"/>
      <c r="B23" s="11"/>
      <c r="C23" s="16"/>
      <c r="D23" s="15"/>
      <c r="E23" s="10" t="s">
        <v>47</v>
      </c>
      <c r="F23" s="11"/>
      <c r="G23" s="11"/>
      <c r="H23" s="11"/>
      <c r="I23" s="11"/>
      <c r="J23" s="11"/>
      <c r="K23" s="11"/>
      <c r="L23" s="11"/>
    </row>
    <row r="24" spans="1:12" x14ac:dyDescent="0.25">
      <c r="A24" s="11"/>
      <c r="B24" s="11"/>
      <c r="C24" s="15" t="s">
        <v>48</v>
      </c>
      <c r="D24" s="16"/>
      <c r="E24" s="16"/>
      <c r="F24" s="16"/>
      <c r="G24" s="16"/>
      <c r="H24" s="16"/>
      <c r="I24" s="16"/>
      <c r="J24" s="16"/>
      <c r="K24" s="16"/>
      <c r="L24" s="16"/>
    </row>
    <row r="25" spans="1:12" x14ac:dyDescent="0.25">
      <c r="A25" s="11"/>
      <c r="B25" s="11"/>
      <c r="C25" s="15" t="s">
        <v>49</v>
      </c>
      <c r="D25" s="16"/>
      <c r="E25" s="16"/>
      <c r="F25" s="16"/>
      <c r="G25" s="16"/>
      <c r="H25" s="16"/>
      <c r="I25" s="16"/>
      <c r="J25" s="16"/>
      <c r="K25" s="16"/>
      <c r="L25" s="16"/>
    </row>
    <row r="26" spans="1:12" x14ac:dyDescent="0.25">
      <c r="A26" s="3"/>
      <c r="B26" s="11"/>
      <c r="C26" s="16"/>
      <c r="D26" s="17"/>
      <c r="E26" s="18" t="s">
        <v>50</v>
      </c>
      <c r="F26" s="16"/>
      <c r="G26" s="16"/>
      <c r="H26" s="16"/>
      <c r="I26" s="16"/>
      <c r="J26" s="16"/>
      <c r="K26" s="16"/>
      <c r="L26" s="16"/>
    </row>
    <row r="27" spans="1:12" x14ac:dyDescent="0.25">
      <c r="A27" s="11"/>
      <c r="B27" s="11"/>
      <c r="C27" s="15" t="s">
        <v>51</v>
      </c>
      <c r="D27" s="16"/>
      <c r="E27" s="16"/>
      <c r="F27" s="16"/>
      <c r="G27" s="16"/>
      <c r="H27" s="16"/>
      <c r="I27" s="16"/>
      <c r="J27" s="16"/>
      <c r="K27" s="16"/>
      <c r="L27" s="1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6"/>
  <dimension ref="A1:L27"/>
  <sheetViews>
    <sheetView workbookViewId="0">
      <selection activeCell="C38" sqref="C38:C39"/>
    </sheetView>
  </sheetViews>
  <sheetFormatPr defaultRowHeight="15" x14ac:dyDescent="0.25"/>
  <cols>
    <col min="1" max="1" width="25.28515625" customWidth="1"/>
    <col min="2" max="2" width="12.28515625" customWidth="1"/>
    <col min="3" max="3" width="22.140625" customWidth="1"/>
    <col min="4" max="4" width="13" customWidth="1"/>
    <col min="5" max="5" width="15" customWidth="1"/>
    <col min="6" max="6" width="16.140625" customWidth="1"/>
    <col min="8" max="8" width="18.28515625" customWidth="1"/>
    <col min="9" max="9" width="18.85546875" customWidth="1"/>
    <col min="10" max="10" width="14.7109375" customWidth="1"/>
  </cols>
  <sheetData>
    <row r="1" spans="1:12" x14ac:dyDescent="0.25">
      <c r="A1" s="8" t="str">
        <f>[1]VOC!A1</f>
        <v>16-00431-N1</v>
      </c>
      <c r="B1" s="3"/>
      <c r="C1" s="9" t="s">
        <v>25</v>
      </c>
    </row>
    <row r="2" spans="1:12" x14ac:dyDescent="0.25">
      <c r="A2" s="3"/>
      <c r="B2" s="3"/>
      <c r="C2" s="3"/>
      <c r="D2" s="3"/>
      <c r="E2" s="3"/>
      <c r="F2" s="3"/>
      <c r="G2" s="3"/>
      <c r="H2" s="3"/>
      <c r="I2" s="10" t="s">
        <v>27</v>
      </c>
      <c r="J2" s="10" t="s">
        <v>28</v>
      </c>
    </row>
    <row r="3" spans="1:12" x14ac:dyDescent="0.25">
      <c r="A3" s="3"/>
      <c r="B3" s="3"/>
      <c r="C3" s="3"/>
      <c r="D3" s="3"/>
      <c r="E3" s="10" t="s">
        <v>29</v>
      </c>
      <c r="F3" s="10" t="s">
        <v>30</v>
      </c>
      <c r="G3" s="10" t="s">
        <v>31</v>
      </c>
      <c r="H3" s="10" t="s">
        <v>32</v>
      </c>
      <c r="I3" s="10" t="s">
        <v>32</v>
      </c>
      <c r="J3" s="10" t="s">
        <v>33</v>
      </c>
    </row>
    <row r="4" spans="1:12" x14ac:dyDescent="0.25">
      <c r="A4" s="3"/>
      <c r="B4" s="3"/>
      <c r="C4" s="10" t="s">
        <v>5</v>
      </c>
      <c r="D4" s="10" t="s">
        <v>34</v>
      </c>
      <c r="E4" s="10" t="s">
        <v>6</v>
      </c>
      <c r="F4" s="10" t="s">
        <v>35</v>
      </c>
      <c r="G4" s="10" t="s">
        <v>36</v>
      </c>
      <c r="H4" s="10" t="s">
        <v>6</v>
      </c>
      <c r="I4" s="10" t="s">
        <v>6</v>
      </c>
      <c r="J4" s="10" t="s">
        <v>37</v>
      </c>
      <c r="K4" s="10" t="s">
        <v>38</v>
      </c>
      <c r="L4" s="10" t="s">
        <v>7</v>
      </c>
    </row>
    <row r="5" spans="1:12" x14ac:dyDescent="0.25">
      <c r="A5" s="10" t="s">
        <v>23</v>
      </c>
      <c r="B5" s="11" t="s">
        <v>39</v>
      </c>
      <c r="C5" s="11" t="s">
        <v>17</v>
      </c>
      <c r="D5" s="3">
        <v>5.71</v>
      </c>
      <c r="E5" s="3">
        <v>3.64</v>
      </c>
      <c r="F5" s="3">
        <v>25</v>
      </c>
      <c r="G5" s="3">
        <v>1</v>
      </c>
      <c r="H5" s="3">
        <f>E5/F5*G5</f>
        <v>0.14560000000000001</v>
      </c>
      <c r="I5" s="12">
        <f>H5</f>
        <v>0.14560000000000001</v>
      </c>
      <c r="J5" s="13" t="s">
        <v>40</v>
      </c>
      <c r="K5" s="11" t="s">
        <v>11</v>
      </c>
      <c r="L5" s="11" t="s">
        <v>9</v>
      </c>
    </row>
    <row r="6" spans="1:12" x14ac:dyDescent="0.25">
      <c r="A6" s="10"/>
      <c r="B6" s="11"/>
      <c r="C6" s="11" t="s">
        <v>41</v>
      </c>
      <c r="D6" s="3">
        <v>6.0739999999999998</v>
      </c>
      <c r="E6" s="3">
        <v>0.06</v>
      </c>
      <c r="F6" s="3">
        <v>25</v>
      </c>
      <c r="G6" s="3">
        <v>1</v>
      </c>
      <c r="H6" s="3">
        <f>E6/F6*G6</f>
        <v>2.3999999999999998E-3</v>
      </c>
      <c r="I6" s="12">
        <f>H6</f>
        <v>2.3999999999999998E-3</v>
      </c>
      <c r="J6" s="13" t="s">
        <v>40</v>
      </c>
      <c r="K6" s="11" t="s">
        <v>11</v>
      </c>
      <c r="L6" s="11" t="s">
        <v>42</v>
      </c>
    </row>
    <row r="7" spans="1:12" x14ac:dyDescent="0.25">
      <c r="A7" s="10"/>
      <c r="B7" s="11"/>
      <c r="C7" s="11" t="s">
        <v>18</v>
      </c>
      <c r="D7" s="3">
        <v>6.9009999999999998</v>
      </c>
      <c r="E7" s="3">
        <v>5.25</v>
      </c>
      <c r="F7" s="3">
        <v>25</v>
      </c>
      <c r="G7" s="3">
        <v>1</v>
      </c>
      <c r="H7" s="3">
        <f>E7/F7*G7</f>
        <v>0.21</v>
      </c>
      <c r="I7" s="12">
        <f>H7</f>
        <v>0.21</v>
      </c>
      <c r="J7" s="13" t="s">
        <v>40</v>
      </c>
      <c r="K7" s="11" t="s">
        <v>11</v>
      </c>
      <c r="L7" s="11" t="s">
        <v>10</v>
      </c>
    </row>
    <row r="8" spans="1:12" x14ac:dyDescent="0.25">
      <c r="A8" s="10"/>
      <c r="B8" s="11"/>
      <c r="C8" s="11"/>
      <c r="D8" s="3"/>
      <c r="E8" s="3"/>
      <c r="F8" s="3"/>
      <c r="G8" s="3"/>
      <c r="H8" s="3"/>
      <c r="I8" s="12"/>
      <c r="J8" s="13"/>
      <c r="K8" s="11"/>
      <c r="L8" s="11"/>
    </row>
    <row r="9" spans="1:12" x14ac:dyDescent="0.25">
      <c r="A9" s="10"/>
      <c r="B9" s="11" t="s">
        <v>24</v>
      </c>
      <c r="C9" s="11" t="s">
        <v>17</v>
      </c>
      <c r="D9" s="3">
        <v>5.72</v>
      </c>
      <c r="E9" s="3">
        <v>3.1</v>
      </c>
      <c r="F9" s="3">
        <v>25</v>
      </c>
      <c r="G9" s="3">
        <v>1</v>
      </c>
      <c r="H9" s="3">
        <f>E9/F9*G9</f>
        <v>0.124</v>
      </c>
      <c r="I9" s="12">
        <f>H9-I$5</f>
        <v>-2.1600000000000008E-2</v>
      </c>
      <c r="J9" s="13" t="s">
        <v>43</v>
      </c>
      <c r="K9" s="11" t="s">
        <v>11</v>
      </c>
      <c r="L9" s="11" t="s">
        <v>9</v>
      </c>
    </row>
    <row r="10" spans="1:12" x14ac:dyDescent="0.25">
      <c r="A10" s="10"/>
      <c r="B10" s="11"/>
      <c r="C10" s="11" t="s">
        <v>41</v>
      </c>
      <c r="D10" s="3">
        <v>6.0970000000000004</v>
      </c>
      <c r="E10" s="3">
        <v>9.0999999999999998E-2</v>
      </c>
      <c r="F10" s="3">
        <v>25</v>
      </c>
      <c r="G10" s="3">
        <v>1</v>
      </c>
      <c r="H10" s="3">
        <f t="shared" ref="H10:H20" si="0">E10/F10*G10</f>
        <v>3.64E-3</v>
      </c>
      <c r="I10" s="12">
        <f>H10-I$6</f>
        <v>1.2400000000000002E-3</v>
      </c>
      <c r="J10" s="13" t="s">
        <v>43</v>
      </c>
      <c r="K10" s="11" t="s">
        <v>11</v>
      </c>
      <c r="L10" s="11" t="s">
        <v>42</v>
      </c>
    </row>
    <row r="11" spans="1:12" x14ac:dyDescent="0.25">
      <c r="A11" s="10"/>
      <c r="B11" s="11"/>
      <c r="C11" s="11" t="s">
        <v>18</v>
      </c>
      <c r="D11" s="3">
        <v>6.9139999999999997</v>
      </c>
      <c r="E11" s="3">
        <v>4.25</v>
      </c>
      <c r="F11" s="3">
        <v>25</v>
      </c>
      <c r="G11" s="3">
        <v>1</v>
      </c>
      <c r="H11" s="3">
        <f t="shared" si="0"/>
        <v>0.17</v>
      </c>
      <c r="I11" s="12">
        <f>H11-I$7</f>
        <v>-3.999999999999998E-2</v>
      </c>
      <c r="J11" s="13" t="s">
        <v>43</v>
      </c>
      <c r="K11" s="11" t="s">
        <v>11</v>
      </c>
      <c r="L11" s="11" t="s">
        <v>10</v>
      </c>
    </row>
    <row r="12" spans="1:12" x14ac:dyDescent="0.25">
      <c r="A12" s="10"/>
      <c r="B12" s="11"/>
      <c r="C12" s="11"/>
      <c r="D12" s="3"/>
      <c r="E12" s="3"/>
      <c r="F12" s="3"/>
      <c r="G12" s="3"/>
      <c r="H12" s="3"/>
      <c r="I12" s="12"/>
      <c r="J12" s="13"/>
      <c r="K12" s="11"/>
      <c r="L12" s="11"/>
    </row>
    <row r="13" spans="1:12" x14ac:dyDescent="0.25">
      <c r="A13" s="10"/>
      <c r="B13" s="3" t="s">
        <v>44</v>
      </c>
      <c r="C13" s="11" t="s">
        <v>12</v>
      </c>
      <c r="D13" s="14">
        <v>4.1630000000000003</v>
      </c>
      <c r="E13" s="14">
        <v>4.46</v>
      </c>
      <c r="F13" s="3">
        <v>25</v>
      </c>
      <c r="G13" s="3">
        <v>200</v>
      </c>
      <c r="H13" s="3">
        <f t="shared" si="0"/>
        <v>35.68</v>
      </c>
      <c r="I13" s="3">
        <f>H13</f>
        <v>35.68</v>
      </c>
      <c r="J13" s="10" t="s">
        <v>45</v>
      </c>
      <c r="K13" s="11" t="s">
        <v>11</v>
      </c>
      <c r="L13" s="11" t="s">
        <v>8</v>
      </c>
    </row>
    <row r="14" spans="1:12" x14ac:dyDescent="0.25">
      <c r="A14" s="3"/>
      <c r="B14" s="3"/>
      <c r="C14" s="11" t="s">
        <v>13</v>
      </c>
      <c r="D14" s="14">
        <v>4.5880000000000001</v>
      </c>
      <c r="E14" s="14">
        <v>3.12</v>
      </c>
      <c r="F14" s="3">
        <v>25</v>
      </c>
      <c r="G14" s="3">
        <v>10</v>
      </c>
      <c r="H14" s="3">
        <f t="shared" si="0"/>
        <v>1.248</v>
      </c>
      <c r="I14" s="3">
        <f>H14</f>
        <v>1.248</v>
      </c>
      <c r="J14" s="10" t="s">
        <v>45</v>
      </c>
      <c r="K14" s="11" t="s">
        <v>11</v>
      </c>
      <c r="L14" s="3" t="s">
        <v>14</v>
      </c>
    </row>
    <row r="15" spans="1:12" x14ac:dyDescent="0.25">
      <c r="A15" s="3"/>
      <c r="B15" s="3"/>
      <c r="C15" s="11" t="s">
        <v>15</v>
      </c>
      <c r="D15" s="14">
        <v>4.8819999999999997</v>
      </c>
      <c r="E15" s="14">
        <v>1.29</v>
      </c>
      <c r="F15" s="3">
        <v>25</v>
      </c>
      <c r="G15" s="3">
        <v>10</v>
      </c>
      <c r="H15" s="3">
        <f t="shared" si="0"/>
        <v>0.51600000000000001</v>
      </c>
      <c r="I15" s="3">
        <f>H15</f>
        <v>0.51600000000000001</v>
      </c>
      <c r="J15" s="10" t="s">
        <v>45</v>
      </c>
      <c r="K15" s="11" t="s">
        <v>11</v>
      </c>
      <c r="L15" s="11" t="s">
        <v>16</v>
      </c>
    </row>
    <row r="16" spans="1:12" x14ac:dyDescent="0.25">
      <c r="A16" s="3"/>
      <c r="B16" s="3"/>
      <c r="C16" s="11" t="s">
        <v>17</v>
      </c>
      <c r="D16" s="14">
        <v>5.7279999999999998</v>
      </c>
      <c r="E16" s="14">
        <v>3.75</v>
      </c>
      <c r="F16" s="3">
        <v>25</v>
      </c>
      <c r="G16" s="3">
        <v>200</v>
      </c>
      <c r="H16" s="3">
        <f t="shared" si="0"/>
        <v>30</v>
      </c>
      <c r="I16" s="12">
        <f>H16-I$5</f>
        <v>29.854399999999998</v>
      </c>
      <c r="J16" s="10" t="s">
        <v>45</v>
      </c>
      <c r="K16" s="11" t="s">
        <v>11</v>
      </c>
      <c r="L16" s="11" t="s">
        <v>9</v>
      </c>
    </row>
    <row r="17" spans="1:12" x14ac:dyDescent="0.25">
      <c r="A17" s="3"/>
      <c r="B17" s="3"/>
      <c r="C17" s="11" t="s">
        <v>41</v>
      </c>
      <c r="D17" s="14">
        <v>6.1289999999999996</v>
      </c>
      <c r="E17" s="14">
        <v>0.17</v>
      </c>
      <c r="F17" s="3">
        <v>25</v>
      </c>
      <c r="G17" s="3">
        <v>10</v>
      </c>
      <c r="H17" s="3">
        <f t="shared" si="0"/>
        <v>6.8000000000000005E-2</v>
      </c>
      <c r="I17" s="12">
        <f>H17-I$6</f>
        <v>6.5600000000000006E-2</v>
      </c>
      <c r="J17" s="11" t="s">
        <v>43</v>
      </c>
      <c r="K17" s="11" t="s">
        <v>11</v>
      </c>
      <c r="L17" s="11" t="s">
        <v>42</v>
      </c>
    </row>
    <row r="18" spans="1:12" x14ac:dyDescent="0.25">
      <c r="A18" s="3"/>
      <c r="B18" s="3"/>
      <c r="C18" s="11" t="s">
        <v>18</v>
      </c>
      <c r="D18" s="14">
        <v>6.91</v>
      </c>
      <c r="E18" s="14">
        <v>7.73</v>
      </c>
      <c r="F18" s="3">
        <v>25</v>
      </c>
      <c r="G18" s="3">
        <v>50</v>
      </c>
      <c r="H18" s="3">
        <f t="shared" si="0"/>
        <v>15.46</v>
      </c>
      <c r="I18" s="12">
        <f>H18-I$7</f>
        <v>15.25</v>
      </c>
      <c r="J18" s="10" t="s">
        <v>45</v>
      </c>
      <c r="K18" s="11" t="s">
        <v>11</v>
      </c>
      <c r="L18" s="11" t="s">
        <v>10</v>
      </c>
    </row>
    <row r="19" spans="1:12" x14ac:dyDescent="0.25">
      <c r="A19" s="3"/>
      <c r="B19" s="3"/>
      <c r="C19" s="11" t="s">
        <v>19</v>
      </c>
      <c r="D19" s="14">
        <v>7.02</v>
      </c>
      <c r="E19" s="14">
        <v>5.22</v>
      </c>
      <c r="F19" s="3">
        <v>25</v>
      </c>
      <c r="G19" s="3">
        <v>10</v>
      </c>
      <c r="H19" s="3">
        <f t="shared" si="0"/>
        <v>2.0880000000000001</v>
      </c>
      <c r="I19" s="3">
        <f>H19</f>
        <v>2.0880000000000001</v>
      </c>
      <c r="J19" s="10" t="s">
        <v>45</v>
      </c>
      <c r="K19" s="11" t="s">
        <v>11</v>
      </c>
      <c r="L19" s="11" t="s">
        <v>20</v>
      </c>
    </row>
    <row r="20" spans="1:12" x14ac:dyDescent="0.25">
      <c r="A20" s="3"/>
      <c r="B20" s="3"/>
      <c r="C20" s="11" t="s">
        <v>21</v>
      </c>
      <c r="D20" s="14">
        <v>9.7509999999999994</v>
      </c>
      <c r="E20" s="14">
        <v>2.84</v>
      </c>
      <c r="F20" s="3">
        <v>25</v>
      </c>
      <c r="G20" s="3">
        <v>10</v>
      </c>
      <c r="H20" s="3">
        <f t="shared" si="0"/>
        <v>1.1359999999999999</v>
      </c>
      <c r="I20" s="3">
        <f>H20</f>
        <v>1.1359999999999999</v>
      </c>
      <c r="J20" s="10" t="s">
        <v>45</v>
      </c>
      <c r="K20" s="11" t="s">
        <v>11</v>
      </c>
      <c r="L20" s="11" t="s">
        <v>22</v>
      </c>
    </row>
    <row r="21" spans="1:12" x14ac:dyDescent="0.25">
      <c r="A21" s="3"/>
      <c r="B21" s="3"/>
    </row>
    <row r="22" spans="1:12" x14ac:dyDescent="0.25">
      <c r="A22" s="11"/>
      <c r="B22" s="11"/>
      <c r="C22" s="15" t="s">
        <v>46</v>
      </c>
      <c r="D22" s="9"/>
      <c r="E22" s="16"/>
      <c r="F22" s="16"/>
      <c r="G22" s="16"/>
      <c r="H22" s="16"/>
      <c r="I22" s="16"/>
      <c r="J22" s="16"/>
      <c r="K22" s="16"/>
      <c r="L22" s="16"/>
    </row>
    <row r="23" spans="1:12" x14ac:dyDescent="0.25">
      <c r="A23" s="3"/>
      <c r="B23" s="11"/>
      <c r="C23" s="16"/>
      <c r="D23" s="15"/>
      <c r="E23" s="10" t="s">
        <v>47</v>
      </c>
      <c r="F23" s="11"/>
      <c r="G23" s="11"/>
      <c r="H23" s="11"/>
      <c r="I23" s="11"/>
      <c r="J23" s="11"/>
      <c r="K23" s="11"/>
      <c r="L23" s="11"/>
    </row>
    <row r="24" spans="1:12" x14ac:dyDescent="0.25">
      <c r="A24" s="11"/>
      <c r="B24" s="11"/>
      <c r="C24" s="15" t="s">
        <v>48</v>
      </c>
      <c r="D24" s="16"/>
      <c r="E24" s="16"/>
      <c r="F24" s="16"/>
      <c r="G24" s="16"/>
      <c r="H24" s="16"/>
      <c r="I24" s="16"/>
      <c r="J24" s="16"/>
      <c r="K24" s="16"/>
      <c r="L24" s="16"/>
    </row>
    <row r="25" spans="1:12" x14ac:dyDescent="0.25">
      <c r="A25" s="11"/>
      <c r="B25" s="11"/>
      <c r="C25" s="15" t="s">
        <v>49</v>
      </c>
      <c r="D25" s="16"/>
      <c r="E25" s="16"/>
      <c r="F25" s="16"/>
      <c r="G25" s="16"/>
      <c r="H25" s="16"/>
      <c r="I25" s="16"/>
      <c r="J25" s="16"/>
      <c r="K25" s="16"/>
      <c r="L25" s="16"/>
    </row>
    <row r="26" spans="1:12" x14ac:dyDescent="0.25">
      <c r="A26" s="3"/>
      <c r="B26" s="11"/>
      <c r="C26" s="16"/>
      <c r="D26" s="17"/>
      <c r="E26" s="18" t="s">
        <v>50</v>
      </c>
      <c r="F26" s="16"/>
      <c r="G26" s="16"/>
      <c r="H26" s="16"/>
      <c r="I26" s="16"/>
      <c r="J26" s="16"/>
      <c r="K26" s="16"/>
      <c r="L26" s="16"/>
    </row>
    <row r="27" spans="1:12" x14ac:dyDescent="0.25">
      <c r="A27" s="11"/>
      <c r="B27" s="11"/>
      <c r="C27" s="15" t="s">
        <v>51</v>
      </c>
      <c r="D27" s="16"/>
      <c r="E27" s="16"/>
      <c r="F27" s="16"/>
      <c r="G27" s="16"/>
      <c r="H27" s="16"/>
      <c r="I27" s="16"/>
      <c r="J27" s="16"/>
      <c r="K27" s="16"/>
      <c r="L27" s="1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Report Data</vt:lpstr>
      <vt:lpstr>Data Table Template</vt:lpstr>
      <vt:lpstr>Data Table Example</vt:lpstr>
    </vt:vector>
  </TitlesOfParts>
  <Company>Toxikon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Condit</dc:creator>
  <cp:lastModifiedBy>Matthew Condit</cp:lastModifiedBy>
  <dcterms:created xsi:type="dcterms:W3CDTF">2016-03-09T12:59:27Z</dcterms:created>
  <dcterms:modified xsi:type="dcterms:W3CDTF">2016-03-11T19:42:59Z</dcterms:modified>
</cp:coreProperties>
</file>